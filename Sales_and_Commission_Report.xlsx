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CE04118A-5B8D-1B47-8571-FD921287054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 Data" sheetId="1" r:id="rId1"/>
    <sheet name="Dashboard &amp; Summa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K11" i="1"/>
  <c r="H11" i="1"/>
  <c r="J11" i="1"/>
  <c r="I11" i="1"/>
  <c r="L10" i="1"/>
  <c r="K10" i="1"/>
  <c r="H10" i="1"/>
  <c r="J10" i="1"/>
  <c r="I10" i="1"/>
  <c r="L9" i="1"/>
  <c r="K9" i="1"/>
  <c r="H3" i="1"/>
  <c r="H9" i="1"/>
  <c r="J9" i="1"/>
  <c r="I9" i="1"/>
  <c r="L8" i="1"/>
  <c r="K8" i="1"/>
  <c r="H4" i="1"/>
  <c r="H8" i="1"/>
  <c r="J8" i="1"/>
  <c r="I8" i="1"/>
  <c r="L7" i="1"/>
  <c r="K7" i="1"/>
  <c r="H5" i="1"/>
  <c r="H7" i="1"/>
  <c r="J7" i="1"/>
  <c r="I7" i="1"/>
  <c r="L6" i="1"/>
  <c r="K6" i="1"/>
  <c r="H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H2" i="1"/>
  <c r="J2" i="1"/>
  <c r="I2" i="1"/>
</calcChain>
</file>

<file path=xl/sharedStrings.xml><?xml version="1.0" encoding="utf-8"?>
<sst xmlns="http://schemas.openxmlformats.org/spreadsheetml/2006/main" count="63" uniqueCount="69">
  <si>
    <t>TRANSACTION DATE</t>
  </si>
  <si>
    <t>EMP ID</t>
  </si>
  <si>
    <t>NAME</t>
  </si>
  <si>
    <t>REGION</t>
  </si>
  <si>
    <t>PRODUCT NAME</t>
  </si>
  <si>
    <t>AMOUNT</t>
  </si>
  <si>
    <t>COMISSION RATE</t>
  </si>
  <si>
    <t>COMISSION EARNED</t>
  </si>
  <si>
    <t>TOTAL SALES</t>
  </si>
  <si>
    <t>TOTAL COMISSION</t>
  </si>
  <si>
    <t>TRANS COUNT</t>
  </si>
  <si>
    <t>STATUS LEVEL</t>
  </si>
  <si>
    <t>2026-05-11</t>
  </si>
  <si>
    <t>Maya Patel</t>
  </si>
  <si>
    <t>south</t>
  </si>
  <si>
    <t>2026-05-12</t>
  </si>
  <si>
    <t>east</t>
  </si>
  <si>
    <t>2026-05-25</t>
  </si>
  <si>
    <t>north</t>
  </si>
  <si>
    <t>2026-05-13</t>
  </si>
  <si>
    <t>Noah</t>
  </si>
  <si>
    <t>west</t>
  </si>
  <si>
    <t>2026-05-19</t>
  </si>
  <si>
    <t>2026-05-15</t>
  </si>
  <si>
    <t>2026-05-16</t>
  </si>
  <si>
    <t>2026-05-17</t>
  </si>
  <si>
    <t>2026-05-18</t>
  </si>
  <si>
    <t>Electronics</t>
  </si>
  <si>
    <t>2026-05-20</t>
  </si>
  <si>
    <t>James Carter</t>
  </si>
  <si>
    <t>Food</t>
  </si>
  <si>
    <t>Row Labels</t>
  </si>
  <si>
    <t>Sum of TOTAL COMISSION</t>
  </si>
  <si>
    <t xml:space="preserve">  Food</t>
  </si>
  <si>
    <t xml:space="preserve">  Earbuds</t>
  </si>
  <si>
    <t xml:space="preserve">  Hairdryer</t>
  </si>
  <si>
    <t>Grand Total</t>
  </si>
  <si>
    <t>ali</t>
  </si>
  <si>
    <t>dayeem</t>
  </si>
  <si>
    <t xml:space="preserve">Michael </t>
  </si>
  <si>
    <t>Nick</t>
  </si>
  <si>
    <t>Emi</t>
  </si>
  <si>
    <t>fred</t>
  </si>
  <si>
    <t>Shanzay</t>
  </si>
  <si>
    <t>Rebert</t>
  </si>
  <si>
    <t>John</t>
  </si>
  <si>
    <t>Dress</t>
  </si>
  <si>
    <t>Haircut</t>
  </si>
  <si>
    <t xml:space="preserve">shoe's </t>
  </si>
  <si>
    <t xml:space="preserve">cosmetics </t>
  </si>
  <si>
    <t xml:space="preserve">furniture </t>
  </si>
  <si>
    <t>decoration</t>
  </si>
  <si>
    <t xml:space="preserve">juicer </t>
  </si>
  <si>
    <t xml:space="preserve">baggy jeans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</si>
</sst>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2" fillId="0" borderId="0" xfId="0" applyFont="1"/>
    <xf numFmtId="0" fontId="0" fillId="0" borderId="0" xfId="0" applyAlignment="1">
      <alignment horizontal="left" vertical="center"/>
    </xf>
    <xf numFmtId="0" fontId="3" fillId="3" borderId="0" xfId="0" applyFont="1" applyFill="1"/>
    <xf numFmtId="0" fontId="2" fillId="0" borderId="1" xfId="0" applyFont="1" applyBorder="1"/>
    <xf numFmtId="164" fontId="2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0" fontId="2" fillId="4" borderId="1" xfId="0" applyFont="1" applyFill="1" applyBorder="1"/>
    <xf numFmtId="164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Total Commission - South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&amp; Summary'!C4</c:f>
              <c:strCache>
                <c:ptCount val="1"/>
                <c:pt idx="0">
                  <c:v>Sum of TOTAL COMISSION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&amp; Summary'!$B$5:$B$11</c:f>
              <c:strCache>
                <c:ptCount val="7"/>
                <c:pt idx="0">
                  <c:v>James Carter</c:v>
                </c:pt>
                <c:pt idx="1">
                  <c:v>  Food</c:v>
                </c:pt>
                <c:pt idx="2">
                  <c:v>Maya Patel</c:v>
                </c:pt>
                <c:pt idx="3">
                  <c:v>  Earbuds</c:v>
                </c:pt>
                <c:pt idx="4">
                  <c:v>Noah</c:v>
                </c:pt>
                <c:pt idx="5">
                  <c:v>  Hairdryer</c:v>
                </c:pt>
                <c:pt idx="6">
                  <c:v>Grand Total</c:v>
                </c:pt>
              </c:strCache>
            </c:strRef>
          </c:cat>
          <c:val>
            <c:numRef>
              <c:f>'Dashboard &amp; Summary'!$C$5:$C$11</c:f>
              <c:numCache>
                <c:formatCode>\$#,##0.00</c:formatCode>
                <c:ptCount val="7"/>
                <c:pt idx="0">
                  <c:v>78</c:v>
                </c:pt>
                <c:pt idx="1">
                  <c:v>78</c:v>
                </c:pt>
                <c:pt idx="2">
                  <c:v>142.5</c:v>
                </c:pt>
                <c:pt idx="3">
                  <c:v>142.5</c:v>
                </c:pt>
                <c:pt idx="4">
                  <c:v>168</c:v>
                </c:pt>
                <c:pt idx="5">
                  <c:v>168</c:v>
                </c:pt>
                <c:pt idx="6">
                  <c:v>388.5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8-6D4F-B4DA-4C381FE7B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Product / Salesperson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Commission Amount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C1" workbookViewId="0">
      <selection activeCell="E2" sqref="E2"/>
    </sheetView>
  </sheetViews>
  <sheetFormatPr defaultRowHeight="15" x14ac:dyDescent="0.2"/>
  <cols>
    <col min="1" max="1" width="18.96484375" customWidth="1"/>
    <col min="2" max="2" width="11.97265625" customWidth="1"/>
    <col min="3" max="3" width="14.9296875" customWidth="1"/>
    <col min="4" max="4" width="11.97265625" customWidth="1"/>
    <col min="5" max="5" width="16.0078125" customWidth="1"/>
    <col min="6" max="6" width="11.97265625" customWidth="1"/>
    <col min="7" max="7" width="16.94921875" customWidth="1"/>
    <col min="8" max="8" width="18.96484375" customWidth="1"/>
    <col min="9" max="10" width="23.9453125" customWidth="1"/>
    <col min="11" max="11" width="20.984375" customWidth="1"/>
    <col min="12" max="12" width="36.99218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3">
        <v>8472</v>
      </c>
      <c r="C2" s="4" t="s">
        <v>37</v>
      </c>
      <c r="D2" s="4" t="s">
        <v>14</v>
      </c>
      <c r="E2" s="4" t="s">
        <v>53</v>
      </c>
      <c r="F2" s="5">
        <v>4750</v>
      </c>
      <c r="G2" s="6">
        <v>0.03</v>
      </c>
      <c r="H2" s="5">
        <f>F2*G2</f>
        <v>142.5</v>
      </c>
      <c r="I2" s="5">
        <f>SUMIF(C:C, C2, F:F)</f>
        <v>4750</v>
      </c>
      <c r="J2" s="5">
        <f>SUMIF(C:C, C2, H:H)</f>
        <v>142.5</v>
      </c>
      <c r="K2" s="3">
        <f>COUNTIF(C:C, C2)</f>
        <v>1</v>
      </c>
      <c r="L2" s="4" t="str">
        <f>IF(G2&gt;=0.04, "elite", "regular")</f>
        <v>regular</v>
      </c>
    </row>
    <row r="3" spans="1:12" x14ac:dyDescent="0.2">
      <c r="A3" s="2" t="s">
        <v>15</v>
      </c>
      <c r="B3" s="3">
        <v>3105</v>
      </c>
      <c r="C3" s="4" t="s">
        <v>38</v>
      </c>
      <c r="D3" s="4" t="s">
        <v>16</v>
      </c>
      <c r="E3" s="4" t="s">
        <v>51</v>
      </c>
      <c r="F3" s="5">
        <v>5000</v>
      </c>
      <c r="G3" s="6">
        <v>0.02</v>
      </c>
      <c r="H3" s="5">
        <f>F3*G3</f>
        <v>100</v>
      </c>
      <c r="I3" s="5">
        <f>SUMIF(C:C, C3, F:F)</f>
        <v>5000</v>
      </c>
      <c r="J3" s="5">
        <f>SUMIF(C:C, C3, H:H)</f>
        <v>100</v>
      </c>
      <c r="K3" s="3">
        <f>COUNTIF(C:C, C3)</f>
        <v>1</v>
      </c>
      <c r="L3" s="4" t="str">
        <f>IF(G3&gt;=0.04, "elite", "regular")</f>
        <v>regular</v>
      </c>
    </row>
    <row r="4" spans="1:12" x14ac:dyDescent="0.2">
      <c r="A4" s="2" t="s">
        <v>17</v>
      </c>
      <c r="B4" s="3">
        <v>9921</v>
      </c>
      <c r="C4" s="4" t="s">
        <v>39</v>
      </c>
      <c r="D4" s="4" t="s">
        <v>18</v>
      </c>
      <c r="E4" s="4" t="s">
        <v>50</v>
      </c>
      <c r="F4" s="5">
        <v>5500</v>
      </c>
      <c r="G4" s="6">
        <v>0.05</v>
      </c>
      <c r="H4" s="5">
        <f>F4*G4</f>
        <v>275</v>
      </c>
      <c r="I4" s="5">
        <f>SUMIF(C:C, C4, F:F)</f>
        <v>5500</v>
      </c>
      <c r="J4" s="5">
        <f>SUMIF(C:C, C4, H:H)</f>
        <v>275</v>
      </c>
      <c r="K4" s="3">
        <f>COUNTIF(C:C, C4)</f>
        <v>1</v>
      </c>
      <c r="L4" s="4" t="str">
        <f>IF(G4&gt;=0.04, "elite", "regular")</f>
        <v>elite</v>
      </c>
    </row>
    <row r="5" spans="1:12" x14ac:dyDescent="0.2">
      <c r="A5" s="2" t="s">
        <v>19</v>
      </c>
      <c r="B5" s="3">
        <v>4037</v>
      </c>
      <c r="C5" s="4" t="s">
        <v>40</v>
      </c>
      <c r="D5" s="4" t="s">
        <v>21</v>
      </c>
      <c r="E5" s="4" t="s">
        <v>49</v>
      </c>
      <c r="F5" s="5">
        <v>3300</v>
      </c>
      <c r="G5" s="6">
        <v>0.12</v>
      </c>
      <c r="H5" s="5">
        <f>F5*G5</f>
        <v>396</v>
      </c>
      <c r="I5" s="5">
        <f>SUMIF(C:C, C5, F:F)</f>
        <v>3300</v>
      </c>
      <c r="J5" s="5">
        <f>SUMIF(C:C, C5, H:H)</f>
        <v>396</v>
      </c>
      <c r="K5" s="3">
        <f>COUNTIF(C:C, C5)</f>
        <v>1</v>
      </c>
      <c r="L5" s="4" t="str">
        <f>IF(G5&gt;=0.04, "elite", "regular")</f>
        <v>elite</v>
      </c>
    </row>
    <row r="6" spans="1:12" x14ac:dyDescent="0.2">
      <c r="A6" s="2" t="s">
        <v>22</v>
      </c>
      <c r="B6" s="3">
        <v>5568</v>
      </c>
      <c r="C6" s="4" t="s">
        <v>41</v>
      </c>
      <c r="D6" s="4" t="s">
        <v>18</v>
      </c>
      <c r="E6" s="4" t="s">
        <v>48</v>
      </c>
      <c r="F6" s="5">
        <v>3500</v>
      </c>
      <c r="G6" s="6">
        <v>0.04</v>
      </c>
      <c r="H6" s="5">
        <f>F6*G6</f>
        <v>140</v>
      </c>
      <c r="I6" s="5">
        <f>SUMIF(C:C, C6, F:F)</f>
        <v>3500</v>
      </c>
      <c r="J6" s="5">
        <f>SUMIF(C:C, C6, H:H)</f>
        <v>140</v>
      </c>
      <c r="K6" s="3">
        <f>COUNTIF(C:C, C6)</f>
        <v>1</v>
      </c>
      <c r="L6" s="4" t="str">
        <f>IF(G6&gt;=0.04, "elite", "regular")</f>
        <v>elite</v>
      </c>
    </row>
    <row r="7" spans="1:12" x14ac:dyDescent="0.2">
      <c r="A7" s="2" t="s">
        <v>23</v>
      </c>
      <c r="B7" s="3">
        <v>4037</v>
      </c>
      <c r="C7" s="4" t="s">
        <v>20</v>
      </c>
      <c r="D7" s="4" t="s">
        <v>14</v>
      </c>
      <c r="E7" s="4" t="s">
        <v>47</v>
      </c>
      <c r="F7" s="5">
        <v>5600</v>
      </c>
      <c r="G7" s="6">
        <v>0.03</v>
      </c>
      <c r="H7" s="5">
        <f>F7*G7</f>
        <v>168</v>
      </c>
      <c r="I7" s="5">
        <f>SUMIF(C:C, C7, F:F)</f>
        <v>5600</v>
      </c>
      <c r="J7" s="5">
        <f>SUMIF(C:C, C7, H:H)</f>
        <v>168</v>
      </c>
      <c r="K7" s="3">
        <f>COUNTIF(C:C, C7)</f>
        <v>1</v>
      </c>
      <c r="L7" s="4" t="str">
        <f>IF(G7&gt;=0.04, "elite", "regular")</f>
        <v>regular</v>
      </c>
    </row>
    <row r="8" spans="1:12" x14ac:dyDescent="0.2">
      <c r="A8" s="2" t="s">
        <v>24</v>
      </c>
      <c r="B8" s="3">
        <v>9921</v>
      </c>
      <c r="C8" s="4" t="s">
        <v>42</v>
      </c>
      <c r="D8" s="4" t="s">
        <v>21</v>
      </c>
      <c r="E8" s="4" t="s">
        <v>52</v>
      </c>
      <c r="F8" s="5">
        <v>3200</v>
      </c>
      <c r="G8" s="6">
        <v>0.03</v>
      </c>
      <c r="H8" s="5">
        <f>F8*G8</f>
        <v>96</v>
      </c>
      <c r="I8" s="5">
        <f>SUMIF(C:C, C8, F:F)</f>
        <v>3200</v>
      </c>
      <c r="J8" s="5">
        <f>SUMIF(C:C, C8, H:H)</f>
        <v>96</v>
      </c>
      <c r="K8" s="3">
        <f>COUNTIF(C:C, C8)</f>
        <v>1</v>
      </c>
      <c r="L8" s="4" t="str">
        <f>IF(G8&gt;=0.04, "elite", "regular")</f>
        <v>regular</v>
      </c>
    </row>
    <row r="9" spans="1:12" x14ac:dyDescent="0.2">
      <c r="A9" s="2" t="s">
        <v>25</v>
      </c>
      <c r="B9" s="3">
        <v>3105</v>
      </c>
      <c r="C9" s="4" t="s">
        <v>43</v>
      </c>
      <c r="D9" s="4" t="s">
        <v>16</v>
      </c>
      <c r="E9" s="4" t="s">
        <v>46</v>
      </c>
      <c r="F9" s="5">
        <v>6700</v>
      </c>
      <c r="G9" s="6">
        <v>0.04</v>
      </c>
      <c r="H9" s="5">
        <f>F9*G9</f>
        <v>268</v>
      </c>
      <c r="I9" s="5">
        <f>SUMIF(C:C, C9, F:F)</f>
        <v>6700</v>
      </c>
      <c r="J9" s="5">
        <f>SUMIF(C:C, C9, H:H)</f>
        <v>268</v>
      </c>
      <c r="K9" s="3">
        <f>COUNTIF(C:C, C9)</f>
        <v>1</v>
      </c>
      <c r="L9" s="4" t="str">
        <f>IF(G9&gt;=0.04, "elite", "regular")</f>
        <v>elite</v>
      </c>
    </row>
    <row r="10" spans="1:12" x14ac:dyDescent="0.2">
      <c r="A10" s="2" t="s">
        <v>26</v>
      </c>
      <c r="B10" s="3">
        <v>6512</v>
      </c>
      <c r="C10" s="4" t="s">
        <v>44</v>
      </c>
      <c r="D10" s="4" t="s">
        <v>18</v>
      </c>
      <c r="E10" s="4" t="s">
        <v>27</v>
      </c>
      <c r="F10" s="5">
        <v>9200</v>
      </c>
      <c r="G10" s="6">
        <v>0.06</v>
      </c>
      <c r="H10" s="5">
        <f>F10*G10</f>
        <v>552</v>
      </c>
      <c r="I10" s="5">
        <f>SUMIF(C:C, C10, F:F)</f>
        <v>9200</v>
      </c>
      <c r="J10" s="5">
        <f>SUMIF(C:C, C10, H:H)</f>
        <v>552</v>
      </c>
      <c r="K10" s="3">
        <f>COUNTIF(C:C, C10)</f>
        <v>1</v>
      </c>
      <c r="L10" s="4" t="str">
        <f>IF(G10&gt;=0.04, "elite", "regular")</f>
        <v>elite</v>
      </c>
    </row>
    <row r="11" spans="1:12" x14ac:dyDescent="0.2">
      <c r="A11" s="2" t="s">
        <v>28</v>
      </c>
      <c r="B11" s="3">
        <v>3749</v>
      </c>
      <c r="C11" s="4" t="s">
        <v>45</v>
      </c>
      <c r="D11" s="4" t="s">
        <v>14</v>
      </c>
      <c r="E11" s="4" t="s">
        <v>30</v>
      </c>
      <c r="F11" s="5">
        <v>2600</v>
      </c>
      <c r="G11" s="6">
        <v>0.03</v>
      </c>
      <c r="H11" s="5">
        <f>F11*G11</f>
        <v>78</v>
      </c>
      <c r="I11" s="5">
        <f>SUMIF(C:C, C11, F:F)</f>
        <v>2600</v>
      </c>
      <c r="J11" s="5">
        <f>SUMIF(C:C, C11, H:H)</f>
        <v>78</v>
      </c>
      <c r="K11" s="3">
        <f>COUNTIF(C:C, C11)</f>
        <v>1</v>
      </c>
      <c r="L11" s="4" t="str">
        <f>IF(G11&gt;=0.04, "elite", "regular")</f>
        <v>regular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1"/>
  <sheetViews>
    <sheetView workbookViewId="0"/>
  </sheetViews>
  <sheetFormatPr defaultRowHeight="15" x14ac:dyDescent="0.2"/>
  <cols>
    <col min="1" max="1" width="11.97265625" customWidth="1"/>
    <col min="2" max="2" width="14.9296875" customWidth="1"/>
    <col min="3" max="3" width="25.01953125" customWidth="1"/>
  </cols>
  <sheetData>
    <row r="2" spans="2:3" x14ac:dyDescent="0.2">
      <c r="B2" s="7" t="s">
        <v>3</v>
      </c>
      <c r="C2" s="8" t="s">
        <v>14</v>
      </c>
    </row>
    <row r="4" spans="2:3" x14ac:dyDescent="0.2">
      <c r="B4" s="9" t="s">
        <v>31</v>
      </c>
      <c r="C4" s="9" t="s">
        <v>32</v>
      </c>
    </row>
    <row r="5" spans="2:3" x14ac:dyDescent="0.2">
      <c r="B5" s="10" t="s">
        <v>29</v>
      </c>
      <c r="C5" s="11">
        <v>78</v>
      </c>
    </row>
    <row r="6" spans="2:3" x14ac:dyDescent="0.2">
      <c r="B6" s="12" t="s">
        <v>33</v>
      </c>
      <c r="C6" s="13">
        <v>78</v>
      </c>
    </row>
    <row r="7" spans="2:3" x14ac:dyDescent="0.2">
      <c r="B7" s="10" t="s">
        <v>13</v>
      </c>
      <c r="C7" s="11">
        <v>142.5</v>
      </c>
    </row>
    <row r="8" spans="2:3" x14ac:dyDescent="0.2">
      <c r="B8" s="12" t="s">
        <v>34</v>
      </c>
      <c r="C8" s="13">
        <v>142.5</v>
      </c>
    </row>
    <row r="9" spans="2:3" x14ac:dyDescent="0.2">
      <c r="B9" s="10" t="s">
        <v>20</v>
      </c>
      <c r="C9" s="11">
        <v>168</v>
      </c>
    </row>
    <row r="10" spans="2:3" x14ac:dyDescent="0.2">
      <c r="B10" s="12" t="s">
        <v>35</v>
      </c>
      <c r="C10" s="13">
        <v>168</v>
      </c>
    </row>
    <row r="11" spans="2:3" x14ac:dyDescent="0.2">
      <c r="B11" s="14" t="s">
        <v>36</v>
      </c>
      <c r="C11" s="15">
        <v>388.5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Dashboard &amp;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2026-06-19T09:59:37Z</dcterms:created>
  <dcterms:modified xsi:type="dcterms:W3CDTF">2026-06-19T09:59:37Z</dcterms:modified>
</cp:coreProperties>
</file>